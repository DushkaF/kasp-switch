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asp-switch\Hardware design\Плата управления\Project Outputs for СНАБ.468332.036\"/>
    </mc:Choice>
  </mc:AlternateContent>
  <xr:revisionPtr revIDLastSave="0" documentId="13_ncr:1_{AE54772B-DFE0-4397-89E9-07E8326B162A}" xr6:coauthVersionLast="47" xr6:coauthVersionMax="47" xr10:uidLastSave="{00000000-0000-0000-0000-000000000000}"/>
  <bookViews>
    <workbookView xWindow="-110" yWindow="-110" windowWidth="19420" windowHeight="11020" xr2:uid="{E8323690-6F49-4AFE-8C9F-22644C8F24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1" l="1"/>
  <c r="I50" i="1"/>
  <c r="I52" i="1"/>
  <c r="I47" i="1"/>
  <c r="I6" i="1"/>
  <c r="I7" i="1"/>
  <c r="I8" i="1"/>
  <c r="I11" i="1"/>
  <c r="I12" i="1"/>
  <c r="I13" i="1"/>
  <c r="I14" i="1"/>
  <c r="I17" i="1"/>
  <c r="I20" i="1"/>
  <c r="I23" i="1"/>
  <c r="I24" i="1"/>
  <c r="I25" i="1"/>
  <c r="I26" i="1"/>
  <c r="I27" i="1"/>
  <c r="I28" i="1"/>
  <c r="I29" i="1"/>
  <c r="I30" i="1"/>
  <c r="I33" i="1"/>
  <c r="I36" i="1"/>
  <c r="I37" i="1"/>
  <c r="I38" i="1"/>
  <c r="I39" i="1"/>
  <c r="I42" i="1"/>
  <c r="I43" i="1"/>
  <c r="I44" i="1"/>
  <c r="I45" i="1"/>
  <c r="I5" i="1"/>
</calcChain>
</file>

<file path=xl/sharedStrings.xml><?xml version="1.0" encoding="utf-8"?>
<sst xmlns="http://schemas.openxmlformats.org/spreadsheetml/2006/main" count="53" uniqueCount="44">
  <si>
    <t>Наименование</t>
  </si>
  <si>
    <t>Конденсаторы</t>
  </si>
  <si>
    <t>100 нФ±20% 25В X7R 0805 CC0805MRX7R8BB104   YAGEO</t>
  </si>
  <si>
    <t>10 мкФ±10% 25В 293D106X9025B2TE3 Vishay</t>
  </si>
  <si>
    <t>47 мкФ±10% 6.3В CA45-A6R3K476T XIANGYEE</t>
  </si>
  <si>
    <t>10 мкФ±10% 25В X5R 0805  CC0805KKX5R8BB106   YAGEO</t>
  </si>
  <si>
    <t>2</t>
  </si>
  <si>
    <t>Микросхемы</t>
  </si>
  <si>
    <t>Преобразователь напряжения MP9943GQ-Z Monolithic Power Systems</t>
  </si>
  <si>
    <t>Линейный регулятор LDO LM8805SF5-3.3 HTC</t>
  </si>
  <si>
    <t>1</t>
  </si>
  <si>
    <t>Датчик BME280 Bosch Sensortec</t>
  </si>
  <si>
    <t>Микроконтроллер ESP32-S3-WROOM-1-N8 Espressif Systems</t>
  </si>
  <si>
    <t>Приборы световой сигнализации</t>
  </si>
  <si>
    <t>Светодиод FYLS-0805URC Ningbo Foryard Optoelectronics</t>
  </si>
  <si>
    <t>Катушки индуктивности</t>
  </si>
  <si>
    <t>Дроссель 10 мкГн 3A IHLP2525CZER100MA1 Vishay</t>
  </si>
  <si>
    <t>Резисторы</t>
  </si>
  <si>
    <t>20 Ом±1% 0.125Вт 0805 RC0805FR-0720RL YAGEO</t>
  </si>
  <si>
    <t>510 кОм±1% 0.125Вт 0805 RC0805FR-07510KL YAGEO</t>
  </si>
  <si>
    <t>100 кОм±1% 0.125Вт 0805 RC0805FR-07100KL YAGEO</t>
  </si>
  <si>
    <t>51 кОм±1% 0.125Вт 0805 RC0805FR-0751KL YAGEO</t>
  </si>
  <si>
    <t>41.2 кОм±1% 0.125Вт 0805 RC0805FR-0741K2L YAGEO</t>
  </si>
  <si>
    <t>7.5 кОм±1% 0.125Вт 0805 RC0805FR-077K5L YAGEO</t>
  </si>
  <si>
    <t>56 Ом±5% 0.125Вт 0805 RC0805JR-0756RL YAGEO</t>
  </si>
  <si>
    <t>4.7 кОм±1% 0.125Вт 0805 RC0805FR-074K7L YAGEO</t>
  </si>
  <si>
    <t>Диоды</t>
  </si>
  <si>
    <t>Диод Шоттки B0520W 0.5А 20В SOD-123 Hottech</t>
  </si>
  <si>
    <t>Соединения контактные</t>
  </si>
  <si>
    <t>Разъём боковой S4B-XH-A(LF)(SN) JST</t>
  </si>
  <si>
    <t>Разъём 2EDGRC-5.08-02P-14 Degson Electronics</t>
  </si>
  <si>
    <t xml:space="preserve">Разъём боковой S6B-XH-A JST </t>
  </si>
  <si>
    <t xml:space="preserve">Разъём боковой SM06B-SRSS-TB JST </t>
  </si>
  <si>
    <t>Элементы разные</t>
  </si>
  <si>
    <t>Конвертер интерфейсов TTL-RS422 WaveShare</t>
  </si>
  <si>
    <t>Винт M3x5 DIN912</t>
  </si>
  <si>
    <t>Стойка латунная PCHSN-6 Connfly electronic</t>
  </si>
  <si>
    <t>Гайка M3 DIN934</t>
  </si>
  <si>
    <t>50 Om±0.1% 0402RT0402BRE0750RL YAGEO</t>
  </si>
  <si>
    <t>Кол. На 1 шт</t>
  </si>
  <si>
    <t>S2B-XH-A(LF)(SN)</t>
  </si>
  <si>
    <t>S3B-XH-A(LF)(SN)</t>
  </si>
  <si>
    <t xml:space="preserve">Всего
</t>
  </si>
  <si>
    <t>GRM1555C1HR20WA01D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</si>
</sst>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i/>
      <sz val="14"/>
      <color indexed="8"/>
      <name val="GOST2304 Type B"/>
      <family val="3"/>
      <charset val="204"/>
    </font>
    <font>
      <b/>
      <i/>
      <u/>
      <sz val="14"/>
      <color indexed="8"/>
      <name val="GOST2304 Type B"/>
      <family val="3"/>
      <charset val="204"/>
    </font>
    <font>
      <b/>
      <i/>
      <sz val="14"/>
      <name val="GOST2304 Type B"/>
      <family val="3"/>
      <charset val="204"/>
    </font>
    <font>
      <b/>
      <i/>
      <sz val="14"/>
      <color indexed="8"/>
      <name val="GOST2304 Type B"/>
      <family val="3"/>
      <charset val="204"/>
    </font>
    <font>
      <i/>
      <sz val="14"/>
      <name val="GOST2304 Type B"/>
      <family val="3"/>
      <charset val="204"/>
    </font>
    <font>
      <i/>
      <sz val="12"/>
      <name val="GOST type B"/>
      <family val="2"/>
      <charset val="204"/>
    </font>
    <font>
      <i/>
      <sz val="12"/>
      <color indexed="8"/>
      <name val="GOST type B"/>
      <family val="2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27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0" fillId="0" borderId="27" xfId="0" applyBorder="1"/>
    <xf numFmtId="0" fontId="0" fillId="0" borderId="0" xfId="0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1" fillId="0" borderId="22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5" fillId="0" borderId="2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AC7E-C4C1-41BB-B320-777079D332E2}">
  <dimension ref="A1:I52"/>
  <sheetViews>
    <sheetView tabSelected="1" workbookViewId="0">
      <selection activeCell="L47" sqref="L47"/>
    </sheetView>
  </sheetViews>
  <sheetFormatPr defaultRowHeight="14.5" x14ac:dyDescent="0.35"/>
  <cols>
    <col min="5" max="5" width="33.26953125" customWidth="1"/>
    <col min="9" max="9" width="18.7265625" customWidth="1"/>
  </cols>
  <sheetData>
    <row r="1" spans="1:9" ht="29.5" thickBot="1" x14ac:dyDescent="0.4">
      <c r="A1" s="42" t="s">
        <v>0</v>
      </c>
      <c r="B1" s="42"/>
      <c r="C1" s="42"/>
      <c r="D1" s="43"/>
      <c r="E1" s="43"/>
      <c r="F1" s="44" t="s">
        <v>39</v>
      </c>
      <c r="G1" s="45"/>
      <c r="H1" s="46"/>
      <c r="I1" s="4" t="s">
        <v>42</v>
      </c>
    </row>
    <row r="2" spans="1:9" ht="17" x14ac:dyDescent="0.35">
      <c r="A2" s="47"/>
      <c r="B2" s="48"/>
      <c r="C2" s="48"/>
      <c r="D2" s="48"/>
      <c r="E2" s="49"/>
      <c r="F2" s="50"/>
      <c r="G2" s="51"/>
      <c r="H2" s="52"/>
    </row>
    <row r="3" spans="1:9" ht="17" x14ac:dyDescent="0.35">
      <c r="A3" s="53" t="s">
        <v>1</v>
      </c>
      <c r="B3" s="54"/>
      <c r="C3" s="54"/>
      <c r="D3" s="54"/>
      <c r="E3" s="55"/>
      <c r="F3" s="56"/>
      <c r="G3" s="57"/>
      <c r="H3" s="58"/>
    </row>
    <row r="4" spans="1:9" ht="17" x14ac:dyDescent="0.35">
      <c r="A4" s="40"/>
      <c r="B4" s="35"/>
      <c r="C4" s="35"/>
      <c r="D4" s="35"/>
      <c r="E4" s="36"/>
      <c r="F4" s="13"/>
      <c r="G4" s="14"/>
      <c r="H4" s="15"/>
    </row>
    <row r="5" spans="1:9" ht="17" x14ac:dyDescent="0.35">
      <c r="A5" s="41" t="s">
        <v>2</v>
      </c>
      <c r="B5" s="32"/>
      <c r="C5" s="32"/>
      <c r="D5" s="32"/>
      <c r="E5" s="33"/>
      <c r="F5" s="10">
        <v>11</v>
      </c>
      <c r="G5" s="11"/>
      <c r="H5" s="12"/>
      <c r="I5">
        <f>F5*2</f>
        <v>22</v>
      </c>
    </row>
    <row r="6" spans="1:9" ht="17" x14ac:dyDescent="0.35">
      <c r="A6" s="34" t="s">
        <v>3</v>
      </c>
      <c r="B6" s="35"/>
      <c r="C6" s="35"/>
      <c r="D6" s="35"/>
      <c r="E6" s="36"/>
      <c r="F6" s="10">
        <v>2</v>
      </c>
      <c r="G6" s="11"/>
      <c r="H6" s="12"/>
      <c r="I6">
        <f t="shared" ref="I6:I45" si="0">F6*2</f>
        <v>4</v>
      </c>
    </row>
    <row r="7" spans="1:9" ht="17" x14ac:dyDescent="0.35">
      <c r="A7" s="28" t="s">
        <v>4</v>
      </c>
      <c r="B7" s="29"/>
      <c r="C7" s="29"/>
      <c r="D7" s="29"/>
      <c r="E7" s="30"/>
      <c r="F7" s="10">
        <v>2</v>
      </c>
      <c r="G7" s="11"/>
      <c r="H7" s="12"/>
      <c r="I7">
        <f t="shared" si="0"/>
        <v>4</v>
      </c>
    </row>
    <row r="8" spans="1:9" ht="17" x14ac:dyDescent="0.35">
      <c r="A8" s="28" t="s">
        <v>5</v>
      </c>
      <c r="B8" s="29"/>
      <c r="C8" s="29"/>
      <c r="D8" s="29"/>
      <c r="E8" s="30"/>
      <c r="F8" s="10" t="s">
        <v>6</v>
      </c>
      <c r="G8" s="11"/>
      <c r="H8" s="12"/>
      <c r="I8">
        <f t="shared" si="0"/>
        <v>4</v>
      </c>
    </row>
    <row r="9" spans="1:9" ht="17" x14ac:dyDescent="0.35">
      <c r="A9" s="37"/>
      <c r="B9" s="38"/>
      <c r="C9" s="38"/>
      <c r="D9" s="38"/>
      <c r="E9" s="39"/>
      <c r="F9" s="13"/>
      <c r="G9" s="14"/>
      <c r="H9" s="15"/>
    </row>
    <row r="10" spans="1:9" ht="17" x14ac:dyDescent="0.35">
      <c r="A10" s="25" t="s">
        <v>7</v>
      </c>
      <c r="B10" s="26"/>
      <c r="C10" s="26"/>
      <c r="D10" s="26"/>
      <c r="E10" s="27"/>
      <c r="F10" s="10"/>
      <c r="G10" s="11"/>
      <c r="H10" s="12"/>
    </row>
    <row r="11" spans="1:9" ht="17" x14ac:dyDescent="0.35">
      <c r="A11" s="28" t="s">
        <v>8</v>
      </c>
      <c r="B11" s="29"/>
      <c r="C11" s="29"/>
      <c r="D11" s="29"/>
      <c r="E11" s="30"/>
      <c r="F11" s="10" t="s">
        <v>6</v>
      </c>
      <c r="G11" s="11"/>
      <c r="H11" s="12"/>
      <c r="I11">
        <f t="shared" si="0"/>
        <v>4</v>
      </c>
    </row>
    <row r="12" spans="1:9" ht="17" x14ac:dyDescent="0.35">
      <c r="A12" s="28" t="s">
        <v>9</v>
      </c>
      <c r="B12" s="29"/>
      <c r="C12" s="29"/>
      <c r="D12" s="29"/>
      <c r="E12" s="30"/>
      <c r="F12" s="10" t="s">
        <v>10</v>
      </c>
      <c r="G12" s="11"/>
      <c r="H12" s="12"/>
      <c r="I12">
        <f t="shared" si="0"/>
        <v>2</v>
      </c>
    </row>
    <row r="13" spans="1:9" ht="17" x14ac:dyDescent="0.35">
      <c r="A13" s="28" t="s">
        <v>11</v>
      </c>
      <c r="B13" s="29"/>
      <c r="C13" s="29"/>
      <c r="D13" s="29"/>
      <c r="E13" s="30"/>
      <c r="F13" s="10" t="s">
        <v>10</v>
      </c>
      <c r="G13" s="11"/>
      <c r="H13" s="12"/>
      <c r="I13">
        <f t="shared" si="0"/>
        <v>2</v>
      </c>
    </row>
    <row r="14" spans="1:9" ht="17" x14ac:dyDescent="0.35">
      <c r="A14" s="31" t="s">
        <v>12</v>
      </c>
      <c r="B14" s="32"/>
      <c r="C14" s="32"/>
      <c r="D14" s="32"/>
      <c r="E14" s="33"/>
      <c r="F14" s="10" t="s">
        <v>10</v>
      </c>
      <c r="G14" s="11"/>
      <c r="H14" s="12"/>
      <c r="I14">
        <f t="shared" si="0"/>
        <v>2</v>
      </c>
    </row>
    <row r="15" spans="1:9" ht="17" x14ac:dyDescent="0.35">
      <c r="A15" s="34"/>
      <c r="B15" s="35"/>
      <c r="C15" s="35"/>
      <c r="D15" s="35"/>
      <c r="E15" s="36"/>
      <c r="F15" s="13"/>
      <c r="G15" s="14"/>
      <c r="H15" s="15"/>
    </row>
    <row r="16" spans="1:9" ht="17" x14ac:dyDescent="0.35">
      <c r="A16" s="25" t="s">
        <v>13</v>
      </c>
      <c r="B16" s="26"/>
      <c r="C16" s="26"/>
      <c r="D16" s="26"/>
      <c r="E16" s="27"/>
      <c r="F16" s="10"/>
      <c r="G16" s="11"/>
      <c r="H16" s="12"/>
    </row>
    <row r="17" spans="1:9" ht="17" x14ac:dyDescent="0.35">
      <c r="A17" s="31" t="s">
        <v>14</v>
      </c>
      <c r="B17" s="32"/>
      <c r="C17" s="32"/>
      <c r="D17" s="32"/>
      <c r="E17" s="33"/>
      <c r="F17" s="10" t="s">
        <v>6</v>
      </c>
      <c r="G17" s="11"/>
      <c r="H17" s="12"/>
      <c r="I17">
        <f t="shared" si="0"/>
        <v>4</v>
      </c>
    </row>
    <row r="18" spans="1:9" ht="17" x14ac:dyDescent="0.35">
      <c r="A18" s="34"/>
      <c r="B18" s="35"/>
      <c r="C18" s="35"/>
      <c r="D18" s="35"/>
      <c r="E18" s="36"/>
      <c r="F18" s="13"/>
      <c r="G18" s="14"/>
      <c r="H18" s="15"/>
    </row>
    <row r="19" spans="1:9" ht="17" x14ac:dyDescent="0.35">
      <c r="A19" s="25" t="s">
        <v>15</v>
      </c>
      <c r="B19" s="26"/>
      <c r="C19" s="26"/>
      <c r="D19" s="26"/>
      <c r="E19" s="27"/>
      <c r="F19" s="10"/>
      <c r="G19" s="11"/>
      <c r="H19" s="12"/>
    </row>
    <row r="20" spans="1:9" ht="17" x14ac:dyDescent="0.35">
      <c r="A20" s="28" t="s">
        <v>16</v>
      </c>
      <c r="B20" s="29"/>
      <c r="C20" s="29"/>
      <c r="D20" s="29"/>
      <c r="E20" s="30"/>
      <c r="F20" s="10" t="s">
        <v>6</v>
      </c>
      <c r="G20" s="11"/>
      <c r="H20" s="12"/>
      <c r="I20">
        <f t="shared" si="0"/>
        <v>4</v>
      </c>
    </row>
    <row r="22" spans="1:9" ht="17" x14ac:dyDescent="0.35">
      <c r="A22" s="16" t="s">
        <v>17</v>
      </c>
      <c r="B22" s="17"/>
      <c r="C22" s="17"/>
      <c r="D22" s="17"/>
      <c r="E22" s="18"/>
      <c r="F22" s="10"/>
      <c r="G22" s="11"/>
      <c r="H22" s="12"/>
    </row>
    <row r="23" spans="1:9" ht="17" x14ac:dyDescent="0.35">
      <c r="A23" s="19" t="s">
        <v>18</v>
      </c>
      <c r="B23" s="20"/>
      <c r="C23" s="20"/>
      <c r="D23" s="20"/>
      <c r="E23" s="21"/>
      <c r="F23" s="10">
        <v>2</v>
      </c>
      <c r="G23" s="11"/>
      <c r="H23" s="12"/>
      <c r="I23">
        <f t="shared" si="0"/>
        <v>4</v>
      </c>
    </row>
    <row r="24" spans="1:9" ht="17" x14ac:dyDescent="0.35">
      <c r="A24" s="19" t="s">
        <v>19</v>
      </c>
      <c r="B24" s="20"/>
      <c r="C24" s="20"/>
      <c r="D24" s="20"/>
      <c r="E24" s="21"/>
      <c r="F24" s="10">
        <v>2</v>
      </c>
      <c r="G24" s="11"/>
      <c r="H24" s="12"/>
      <c r="I24">
        <f t="shared" si="0"/>
        <v>4</v>
      </c>
    </row>
    <row r="25" spans="1:9" ht="17" x14ac:dyDescent="0.35">
      <c r="A25" s="19" t="s">
        <v>20</v>
      </c>
      <c r="B25" s="20"/>
      <c r="C25" s="20"/>
      <c r="D25" s="20"/>
      <c r="E25" s="21"/>
      <c r="F25" s="10">
        <v>2</v>
      </c>
      <c r="G25" s="11"/>
      <c r="H25" s="12"/>
      <c r="I25">
        <f t="shared" si="0"/>
        <v>4</v>
      </c>
    </row>
    <row r="26" spans="1:9" ht="17" x14ac:dyDescent="0.35">
      <c r="A26" s="19" t="s">
        <v>21</v>
      </c>
      <c r="B26" s="20"/>
      <c r="C26" s="20"/>
      <c r="D26" s="20"/>
      <c r="E26" s="21"/>
      <c r="F26" s="10">
        <v>2</v>
      </c>
      <c r="G26" s="11"/>
      <c r="H26" s="12"/>
      <c r="I26">
        <f t="shared" si="0"/>
        <v>4</v>
      </c>
    </row>
    <row r="27" spans="1:9" ht="17" x14ac:dyDescent="0.35">
      <c r="A27" s="19" t="s">
        <v>22</v>
      </c>
      <c r="B27" s="20"/>
      <c r="C27" s="20"/>
      <c r="D27" s="20"/>
      <c r="E27" s="21"/>
      <c r="F27" s="10">
        <v>2</v>
      </c>
      <c r="G27" s="11"/>
      <c r="H27" s="12"/>
      <c r="I27">
        <f t="shared" si="0"/>
        <v>4</v>
      </c>
    </row>
    <row r="28" spans="1:9" ht="17" x14ac:dyDescent="0.35">
      <c r="A28" s="19" t="s">
        <v>23</v>
      </c>
      <c r="B28" s="20"/>
      <c r="C28" s="20"/>
      <c r="D28" s="20"/>
      <c r="E28" s="21"/>
      <c r="F28" s="10">
        <v>2</v>
      </c>
      <c r="G28" s="11"/>
      <c r="H28" s="12"/>
      <c r="I28">
        <f t="shared" si="0"/>
        <v>4</v>
      </c>
    </row>
    <row r="29" spans="1:9" ht="17" x14ac:dyDescent="0.35">
      <c r="A29" s="19" t="s">
        <v>24</v>
      </c>
      <c r="B29" s="20"/>
      <c r="C29" s="20"/>
      <c r="D29" s="20"/>
      <c r="E29" s="21"/>
      <c r="F29" s="10" t="s">
        <v>6</v>
      </c>
      <c r="G29" s="11"/>
      <c r="H29" s="12"/>
      <c r="I29">
        <f t="shared" si="0"/>
        <v>4</v>
      </c>
    </row>
    <row r="30" spans="1:9" ht="17" x14ac:dyDescent="0.35">
      <c r="A30" s="19" t="s">
        <v>25</v>
      </c>
      <c r="B30" s="20"/>
      <c r="C30" s="20"/>
      <c r="D30" s="20"/>
      <c r="E30" s="21"/>
      <c r="F30" s="10" t="s">
        <v>6</v>
      </c>
      <c r="G30" s="11"/>
      <c r="H30" s="12"/>
      <c r="I30">
        <f t="shared" si="0"/>
        <v>4</v>
      </c>
    </row>
    <row r="31" spans="1:9" ht="17" x14ac:dyDescent="0.35">
      <c r="A31" s="19"/>
      <c r="B31" s="20"/>
      <c r="C31" s="20"/>
      <c r="D31" s="20"/>
      <c r="E31" s="21"/>
      <c r="F31" s="10"/>
      <c r="G31" s="11"/>
      <c r="H31" s="12"/>
    </row>
    <row r="32" spans="1:9" ht="17" x14ac:dyDescent="0.35">
      <c r="A32" s="16" t="s">
        <v>26</v>
      </c>
      <c r="B32" s="17"/>
      <c r="C32" s="17"/>
      <c r="D32" s="17"/>
      <c r="E32" s="18"/>
      <c r="F32" s="10"/>
      <c r="G32" s="11"/>
      <c r="H32" s="12"/>
    </row>
    <row r="33" spans="1:9" ht="17" x14ac:dyDescent="0.35">
      <c r="A33" s="22" t="s">
        <v>27</v>
      </c>
      <c r="B33" s="23"/>
      <c r="C33" s="23"/>
      <c r="D33" s="23"/>
      <c r="E33" s="24"/>
      <c r="F33" s="10" t="s">
        <v>10</v>
      </c>
      <c r="G33" s="11"/>
      <c r="H33" s="12"/>
      <c r="I33">
        <f t="shared" si="0"/>
        <v>2</v>
      </c>
    </row>
    <row r="34" spans="1:9" ht="17" x14ac:dyDescent="0.35">
      <c r="A34" s="19"/>
      <c r="B34" s="20"/>
      <c r="C34" s="20"/>
      <c r="D34" s="20"/>
      <c r="E34" s="21"/>
      <c r="F34" s="10"/>
      <c r="G34" s="11"/>
      <c r="H34" s="12"/>
    </row>
    <row r="35" spans="1:9" ht="17" x14ac:dyDescent="0.35">
      <c r="A35" s="16" t="s">
        <v>28</v>
      </c>
      <c r="B35" s="17"/>
      <c r="C35" s="17"/>
      <c r="D35" s="17"/>
      <c r="E35" s="18"/>
      <c r="F35" s="10"/>
      <c r="G35" s="11"/>
      <c r="H35" s="12"/>
    </row>
    <row r="36" spans="1:9" ht="17" x14ac:dyDescent="0.35">
      <c r="A36" s="19" t="s">
        <v>29</v>
      </c>
      <c r="B36" s="20"/>
      <c r="C36" s="20"/>
      <c r="D36" s="20"/>
      <c r="E36" s="21"/>
      <c r="F36" s="10">
        <v>8</v>
      </c>
      <c r="G36" s="11"/>
      <c r="H36" s="12"/>
      <c r="I36">
        <f t="shared" si="0"/>
        <v>16</v>
      </c>
    </row>
    <row r="37" spans="1:9" ht="17" x14ac:dyDescent="0.35">
      <c r="A37" s="19" t="s">
        <v>30</v>
      </c>
      <c r="B37" s="20"/>
      <c r="C37" s="20"/>
      <c r="D37" s="20"/>
      <c r="E37" s="21"/>
      <c r="F37" s="10" t="s">
        <v>10</v>
      </c>
      <c r="G37" s="11"/>
      <c r="H37" s="12"/>
      <c r="I37">
        <f t="shared" si="0"/>
        <v>2</v>
      </c>
    </row>
    <row r="38" spans="1:9" ht="17" x14ac:dyDescent="0.35">
      <c r="A38" s="19" t="s">
        <v>31</v>
      </c>
      <c r="B38" s="20"/>
      <c r="C38" s="20"/>
      <c r="D38" s="20"/>
      <c r="E38" s="21"/>
      <c r="F38" s="10">
        <v>1</v>
      </c>
      <c r="G38" s="11"/>
      <c r="H38" s="12"/>
      <c r="I38">
        <f t="shared" si="0"/>
        <v>2</v>
      </c>
    </row>
    <row r="39" spans="1:9" ht="17" x14ac:dyDescent="0.35">
      <c r="A39" s="7" t="s">
        <v>32</v>
      </c>
      <c r="B39" s="8"/>
      <c r="C39" s="8"/>
      <c r="D39" s="8"/>
      <c r="E39" s="9"/>
      <c r="F39" s="10">
        <v>1</v>
      </c>
      <c r="G39" s="11"/>
      <c r="H39" s="12"/>
      <c r="I39">
        <f t="shared" si="0"/>
        <v>2</v>
      </c>
    </row>
    <row r="40" spans="1:9" ht="17" x14ac:dyDescent="0.35">
      <c r="A40" s="7"/>
      <c r="B40" s="8"/>
      <c r="C40" s="8"/>
      <c r="D40" s="8"/>
      <c r="E40" s="9"/>
      <c r="F40" s="10"/>
      <c r="G40" s="11"/>
      <c r="H40" s="12"/>
    </row>
    <row r="41" spans="1:9" ht="17" x14ac:dyDescent="0.35">
      <c r="A41" s="16" t="s">
        <v>33</v>
      </c>
      <c r="B41" s="17"/>
      <c r="C41" s="17"/>
      <c r="D41" s="17"/>
      <c r="E41" s="18"/>
      <c r="F41" s="13"/>
      <c r="G41" s="14"/>
      <c r="H41" s="15"/>
    </row>
    <row r="42" spans="1:9" ht="17" x14ac:dyDescent="0.35">
      <c r="A42" s="7" t="s">
        <v>34</v>
      </c>
      <c r="B42" s="8"/>
      <c r="C42" s="8"/>
      <c r="D42" s="8"/>
      <c r="E42" s="9"/>
      <c r="F42" s="10">
        <v>1</v>
      </c>
      <c r="G42" s="11"/>
      <c r="H42" s="12"/>
      <c r="I42">
        <f t="shared" si="0"/>
        <v>2</v>
      </c>
    </row>
    <row r="43" spans="1:9" ht="17" x14ac:dyDescent="0.35">
      <c r="A43" s="13" t="s">
        <v>35</v>
      </c>
      <c r="B43" s="14"/>
      <c r="C43" s="14"/>
      <c r="D43" s="14"/>
      <c r="E43" s="15"/>
      <c r="F43" s="10">
        <v>2</v>
      </c>
      <c r="G43" s="11"/>
      <c r="H43" s="12"/>
      <c r="I43">
        <f t="shared" si="0"/>
        <v>4</v>
      </c>
    </row>
    <row r="44" spans="1:9" ht="17" x14ac:dyDescent="0.35">
      <c r="A44" s="7" t="s">
        <v>36</v>
      </c>
      <c r="B44" s="8"/>
      <c r="C44" s="8"/>
      <c r="D44" s="8"/>
      <c r="E44" s="9"/>
      <c r="F44" s="10">
        <v>2</v>
      </c>
      <c r="G44" s="11"/>
      <c r="H44" s="12"/>
      <c r="I44">
        <f t="shared" si="0"/>
        <v>4</v>
      </c>
    </row>
    <row r="45" spans="1:9" ht="17" x14ac:dyDescent="0.35">
      <c r="A45" s="13" t="s">
        <v>37</v>
      </c>
      <c r="B45" s="14"/>
      <c r="C45" s="14"/>
      <c r="D45" s="14"/>
      <c r="E45" s="15"/>
      <c r="F45" s="10">
        <v>2</v>
      </c>
      <c r="G45" s="11"/>
      <c r="H45" s="12"/>
      <c r="I45">
        <f t="shared" si="0"/>
        <v>4</v>
      </c>
    </row>
    <row r="47" spans="1:9" ht="15" x14ac:dyDescent="0.35">
      <c r="A47" s="1" t="s">
        <v>38</v>
      </c>
      <c r="B47" s="2"/>
      <c r="C47" s="2"/>
      <c r="D47" s="2"/>
      <c r="E47" s="3"/>
      <c r="F47" s="6">
        <v>1</v>
      </c>
      <c r="G47" s="6"/>
      <c r="H47" s="6"/>
      <c r="I47">
        <f>F47*8</f>
        <v>8</v>
      </c>
    </row>
    <row r="49" spans="1:9" ht="15" x14ac:dyDescent="0.35">
      <c r="A49" s="5" t="s">
        <v>40</v>
      </c>
      <c r="B49" s="5"/>
      <c r="C49" s="5"/>
      <c r="D49" s="5"/>
      <c r="E49" s="5"/>
      <c r="F49" s="6">
        <v>1</v>
      </c>
      <c r="G49" s="6"/>
      <c r="H49" s="6"/>
      <c r="I49">
        <f t="shared" ref="I48:I52" si="1">F49*8</f>
        <v>8</v>
      </c>
    </row>
    <row r="50" spans="1:9" ht="15" x14ac:dyDescent="0.35">
      <c r="A50" s="5" t="s">
        <v>41</v>
      </c>
      <c r="B50" s="5"/>
      <c r="C50" s="5"/>
      <c r="D50" s="5"/>
      <c r="E50" s="5"/>
      <c r="F50" s="6">
        <v>1</v>
      </c>
      <c r="G50" s="6"/>
      <c r="H50" s="6"/>
      <c r="I50">
        <f t="shared" si="1"/>
        <v>8</v>
      </c>
    </row>
    <row r="52" spans="1:9" x14ac:dyDescent="0.35">
      <c r="A52" s="59" t="s">
        <v>43</v>
      </c>
      <c r="B52" s="59"/>
      <c r="C52" s="59"/>
      <c r="D52" s="59"/>
      <c r="E52" s="59"/>
      <c r="F52" s="59">
        <v>10</v>
      </c>
      <c r="G52" s="59"/>
      <c r="H52" s="59"/>
      <c r="I52">
        <f t="shared" si="1"/>
        <v>80</v>
      </c>
    </row>
  </sheetData>
  <protectedRanges>
    <protectedRange password="CF7A" sqref="A1:F1 H1" name="Диапазон3"/>
  </protectedRanges>
  <mergeCells count="95">
    <mergeCell ref="A52:E52"/>
    <mergeCell ref="F52:H52"/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F6:H6"/>
    <mergeCell ref="A7:E7"/>
    <mergeCell ref="F7:H7"/>
    <mergeCell ref="A8:E8"/>
    <mergeCell ref="F8:H8"/>
    <mergeCell ref="A9:E9"/>
    <mergeCell ref="F9:H9"/>
    <mergeCell ref="A10:E10"/>
    <mergeCell ref="F10:H10"/>
    <mergeCell ref="A11:E11"/>
    <mergeCell ref="F11:H11"/>
    <mergeCell ref="A12:E12"/>
    <mergeCell ref="F12:H12"/>
    <mergeCell ref="A13:E13"/>
    <mergeCell ref="F13:H13"/>
    <mergeCell ref="A14:E14"/>
    <mergeCell ref="F14:H14"/>
    <mergeCell ref="A15:E15"/>
    <mergeCell ref="F15:H15"/>
    <mergeCell ref="A16:E16"/>
    <mergeCell ref="F16:H16"/>
    <mergeCell ref="A17:E17"/>
    <mergeCell ref="F17:H17"/>
    <mergeCell ref="A18:E18"/>
    <mergeCell ref="F18:H18"/>
    <mergeCell ref="A19:E19"/>
    <mergeCell ref="F19:H19"/>
    <mergeCell ref="A20:E20"/>
    <mergeCell ref="F20:H20"/>
    <mergeCell ref="A22:E22"/>
    <mergeCell ref="F22:H22"/>
    <mergeCell ref="A23:E23"/>
    <mergeCell ref="F23:H23"/>
    <mergeCell ref="A24:E24"/>
    <mergeCell ref="F24:H24"/>
    <mergeCell ref="A25:E25"/>
    <mergeCell ref="F25:H25"/>
    <mergeCell ref="A26:E26"/>
    <mergeCell ref="F26:H26"/>
    <mergeCell ref="A27:E27"/>
    <mergeCell ref="F27:H27"/>
    <mergeCell ref="A28:E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A33:E33"/>
    <mergeCell ref="F33:H33"/>
    <mergeCell ref="A34:E34"/>
    <mergeCell ref="F34:H34"/>
    <mergeCell ref="A35:E35"/>
    <mergeCell ref="F35:H35"/>
    <mergeCell ref="A36:E36"/>
    <mergeCell ref="F36:H36"/>
    <mergeCell ref="A37:E37"/>
    <mergeCell ref="F37:H37"/>
    <mergeCell ref="A38:E38"/>
    <mergeCell ref="F38:H38"/>
    <mergeCell ref="A39:E39"/>
    <mergeCell ref="F39:H39"/>
    <mergeCell ref="A40:E40"/>
    <mergeCell ref="F40:H40"/>
    <mergeCell ref="A41:E41"/>
    <mergeCell ref="F41:H41"/>
    <mergeCell ref="A42:E42"/>
    <mergeCell ref="F42:H42"/>
    <mergeCell ref="A43:E43"/>
    <mergeCell ref="F43:H43"/>
    <mergeCell ref="A50:E50"/>
    <mergeCell ref="A49:E49"/>
    <mergeCell ref="F49:H49"/>
    <mergeCell ref="F50:H50"/>
    <mergeCell ref="A44:E44"/>
    <mergeCell ref="F44:H44"/>
    <mergeCell ref="A45:E45"/>
    <mergeCell ref="F45:H45"/>
    <mergeCell ref="F47:H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Оператор-разработчик</dc:creator>
  <cp:lastModifiedBy>Оператор-разработчик</cp:lastModifiedBy>
  <dcterms:created xsi:type="dcterms:W3CDTF">2025-12-05T11:16:10Z</dcterms:created>
  <dcterms:modified xsi:type="dcterms:W3CDTF">2025-12-05T11:39:25Z</dcterms:modified>
</cp:coreProperties>
</file>